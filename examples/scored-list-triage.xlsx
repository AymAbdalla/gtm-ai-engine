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iage" sheetId="1" state="visible" r:id="rId3"/>
    <sheet name="Summary" sheetId="2" state="visible" r:id="rId4"/>
    <sheet name="Scoring Note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<sst xmlns="http://schemas.openxmlformats.org/spreadsheetml/2006/main" count="216" uniqueCount="163">
  <si>
    <t xml:space="preserve">Account</t>
  </si>
  <si>
    <t xml:space="preserve">Domain</t>
  </si>
  <si>
    <t xml:space="preserve">Employees (confirmed)</t>
  </si>
  <si>
    <t xml:space="preserve">Segment</t>
  </si>
  <si>
    <t xml:space="preserve">Industry / Workforce</t>
  </si>
  <si>
    <t xml:space="preserve">FIT</t>
  </si>
  <si>
    <t xml:space="preserve">Win</t>
  </si>
  <si>
    <t xml:space="preserve">Action</t>
  </si>
  <si>
    <t xml:space="preserve">Why (1 line)</t>
  </si>
  <si>
    <t xml:space="preserve">Current stack</t>
  </si>
  <si>
    <t xml:space="preserve">Why-now trigger</t>
  </si>
  <si>
    <t xml:space="preserve">Lookalike</t>
  </si>
  <si>
    <t xml:space="preserve">Closest customer</t>
  </si>
  <si>
    <t xml:space="preserve">Secondary_Fit</t>
  </si>
  <si>
    <t xml:space="preserve">Discovery questions (🟡/🔴)</t>
  </si>
  <si>
    <t xml:space="preserve">Data flag</t>
  </si>
  <si>
    <t xml:space="preserve">Meridian Robotics</t>
  </si>
  <si>
    <t xml:space="preserve">meridianrobotics.com</t>
  </si>
  <si>
    <t xml:space="preserve">1,400 (file: 1,380)</t>
  </si>
  <si>
    <t xml:space="preserve">Enterprise-Core</t>
  </si>
  <si>
    <t xml:space="preserve">Industrial automation software / desk-first</t>
  </si>
  <si>
    <t xml:space="preserve">Good Fit</t>
  </si>
  <si>
    <t xml:space="preserve">🔥 Hot</t>
  </si>
  <si>
    <t xml:space="preserve">Keep</t>
  </si>
  <si>
    <t xml:space="preserve">Compound lookalike + new CPO + Series D on an outgrown SMB stack</t>
  </si>
  <si>
    <t xml:space="preserve">PeopleNest (adopted at ~600 EE)</t>
  </si>
  <si>
    <t xml:space="preserve">New CPO (6 wks) · Series D 4 mos ago · 3 acquisitions in 2 yrs</t>
  </si>
  <si>
    <t xml:space="preserve">Outgrown_Starter_Stack + Headcount_Rocket + Tool_Sprawl</t>
  </si>
  <si>
    <t xml:space="preserve">Vantiv Labs (1,200 EE, robotics)</t>
  </si>
  <si>
    <t xml:space="preserve">⚠️ verify (~320 US EE, comp mix unknown)</t>
  </si>
  <si>
    <t xml:space="preserve">Arclight Media</t>
  </si>
  <si>
    <t xml:space="preserve">arclight.tv</t>
  </si>
  <si>
    <t xml:space="preserve">1,650</t>
  </si>
  <si>
    <t xml:space="preserve">Streaming / media / desk-first</t>
  </si>
  <si>
    <t xml:space="preserve">Post-merger people-org consolidation is live now</t>
  </si>
  <si>
    <t xml:space="preserve">Two parallel legacy systems (post-merger)</t>
  </si>
  <si>
    <t xml:space="preserve">Merged with Beacon Studios (Q2) · integration underway</t>
  </si>
  <si>
    <t xml:space="preserve">Site_Sprawl + Tool_Sprawl</t>
  </si>
  <si>
    <t xml:space="preserve">Northstar Interactive (1,800 EE, gaming)</t>
  </si>
  <si>
    <t xml:space="preserve">❌ (est. 700+ US EE)</t>
  </si>
  <si>
    <t xml:space="preserve">Cobalt Financial</t>
  </si>
  <si>
    <t xml:space="preserve">cobaltfin.com</t>
  </si>
  <si>
    <t xml:space="preserve">2,200</t>
  </si>
  <si>
    <t xml:space="preserve">Fintech / desk-first</t>
  </si>
  <si>
    <t xml:space="preserve">🟠 Warm</t>
  </si>
  <si>
    <t xml:space="preserve">Core-band fintech; new CHRO likely to review stack</t>
  </si>
  <si>
    <t xml:space="preserve">Legacy enterprise suite (unconfirmed)</t>
  </si>
  <si>
    <t xml:space="preserve">New CHRO (60 days)</t>
  </si>
  <si>
    <t xml:space="preserve">Diligence_Ready</t>
  </si>
  <si>
    <t xml:space="preserve">Ledgerline (2,000 EE, payments)</t>
  </si>
  <si>
    <t xml:space="preserve">❌ (est. 900 US EE)</t>
  </si>
  <si>
    <t xml:space="preserve">Everpath Health</t>
  </si>
  <si>
    <t xml:space="preserve">everpath.io</t>
  </si>
  <si>
    <t xml:space="preserve">1,100 (file: 940)</t>
  </si>
  <si>
    <t xml:space="preserve">Digital health / telehealth</t>
  </si>
  <si>
    <t xml:space="preserve">Series C rocket crossing the 1,000-EE line on a starter stack</t>
  </si>
  <si>
    <t xml:space="preserve">PeopleNest + 3 point tools</t>
  </si>
  <si>
    <t xml:space="preserve">Series C 9 mos ago · headcount +38%/yr</t>
  </si>
  <si>
    <t xml:space="preserve">Headcount_Rocket + Outgrown_Starter_Stack</t>
  </si>
  <si>
    <t xml:space="preserve">✅ (~260 US EE, salaried)</t>
  </si>
  <si>
    <t xml:space="preserve">File EE count stale (+160)</t>
  </si>
  <si>
    <t xml:space="preserve">Northgate Logistics</t>
  </si>
  <si>
    <t xml:space="preserve">northgatelog.com</t>
  </si>
  <si>
    <t xml:space="preserve">3,800</t>
  </si>
  <si>
    <t xml:space="preserve">Enterprise-Strong</t>
  </si>
  <si>
    <t xml:space="preserve">Logistics tech / mixed workforce</t>
  </si>
  <si>
    <t xml:space="preserve">Borderline</t>
  </si>
  <si>
    <t xml:space="preserve">Qualify</t>
  </si>
  <si>
    <t xml:space="preserve">Strong tech HQ segment (~1,200 desk) inside a frontline-heavy org</t>
  </si>
  <si>
    <t xml:space="preserve">Unknown</t>
  </si>
  <si>
    <t xml:space="preserve">Opened 2 European hubs this year</t>
  </si>
  <si>
    <t xml:space="preserve">Site_Sprawl (weak)</t>
  </si>
  <si>
    <t xml:space="preserve">no band-matched match</t>
  </si>
  <si>
    <t xml:space="preserve">❌</t>
  </si>
  <si>
    <t xml:space="preserve">Desk vs frontline split? · Corporate/HQ segment with its own needs? · Who owns people systems for the HQ org?</t>
  </si>
  <si>
    <t xml:space="preserve">Vantage Grid</t>
  </si>
  <si>
    <t xml:space="preserve">vantagegrid.com</t>
  </si>
  <si>
    <t xml:space="preserve">5,600</t>
  </si>
  <si>
    <t xml:space="preserve">Enterprise-Stretch</t>
  </si>
  <si>
    <t xml:space="preserve">Energy management software</t>
  </si>
  <si>
    <t xml:space="preserve">🟡 —</t>
  </si>
  <si>
    <t xml:space="preserve">Above sweet spot; win requires a division play</t>
  </si>
  <si>
    <t xml:space="preserve">Legacy enterprise suite (2019)</t>
  </si>
  <si>
    <t xml:space="preserve">None found (35-day lookback)</t>
  </si>
  <si>
    <t xml:space="preserve">none</t>
  </si>
  <si>
    <t xml:space="preserve">Any BU running independently of the corporate stack? · Teams the current system underserves? · Appetite to modernize anywhere first?</t>
  </si>
  <si>
    <t xml:space="preserve">Bluepine Hospitality Group</t>
  </si>
  <si>
    <t xml:space="preserve">bluepinegroup.com</t>
  </si>
  <si>
    <t xml:space="preserve">2,900</t>
  </si>
  <si>
    <t xml:space="preserve">Hospitality mgmt / workforce mix unclear</t>
  </si>
  <si>
    <t xml:space="preserve">Band fits; frontline share could DQ — verify before investing</t>
  </si>
  <si>
    <t xml:space="preserve">Acquired 2 boutique brands (2025)</t>
  </si>
  <si>
    <t xml:space="preserve">M&amp;A pattern only</t>
  </si>
  <si>
    <t xml:space="preserve">Corporate vs property-staff split? · Where does HQ people-admin live today? · Post-acquisition people-org integration plan?</t>
  </si>
  <si>
    <t xml:space="preserve">Summit Legal Group</t>
  </si>
  <si>
    <t xml:space="preserve">summitlegal.com</t>
  </si>
  <si>
    <t xml:space="preserve">950</t>
  </si>
  <si>
    <t xml:space="preserve">Upper-MM</t>
  </si>
  <si>
    <t xml:space="preserve">Legal services / desk-first</t>
  </si>
  <si>
    <t xml:space="preserve">Below enterprise band but growing; bridge account</t>
  </si>
  <si>
    <t xml:space="preserve">Spreadsheets + payroll bureau</t>
  </si>
  <si>
    <t xml:space="preserve">3 open HR roles</t>
  </si>
  <si>
    <t xml:space="preserve">Spreadsheet_Ceiling</t>
  </si>
  <si>
    <t xml:space="preserve">Harborlight Advisory (900 EE, prof services)</t>
  </si>
  <si>
    <t xml:space="preserve">✅ (~880 US EE — over ceiling? verify)</t>
  </si>
  <si>
    <t xml:space="preserve">Growth plan next 18 mos? · Who sponsors an HR-systems move?</t>
  </si>
  <si>
    <t xml:space="preserve">Ferro Foundry Co</t>
  </si>
  <si>
    <t xml:space="preserve">ferrofoundry.com</t>
  </si>
  <si>
    <t xml:space="preserve">4,200</t>
  </si>
  <si>
    <t xml:space="preserve">Heavy manufacturing / ~85% hourly</t>
  </si>
  <si>
    <t xml:space="preserve">Non-Fit</t>
  </si>
  <si>
    <t xml:space="preserve">❄️ Cool</t>
  </si>
  <si>
    <t xml:space="preserve">Remove</t>
  </si>
  <si>
    <t xml:space="preserve">Workforce type the product doesn't serve; no desk segment at scale</t>
  </si>
  <si>
    <t xml:space="preserve">Time-and-attendance-led suite</t>
  </si>
  <si>
    <t xml:space="preserve">—</t>
  </si>
  <si>
    <t xml:space="preserve">DQ: frontline-dominant</t>
  </si>
  <si>
    <t xml:space="preserve">Stateline Public Schools</t>
  </si>
  <si>
    <t xml:space="preserve">statelineschools.org</t>
  </si>
  <si>
    <t xml:space="preserve">6,000</t>
  </si>
  <si>
    <t xml:space="preserve">Out-of-band</t>
  </si>
  <si>
    <t xml:space="preserve">Public sector / education</t>
  </si>
  <si>
    <t xml:space="preserve">Public sector — excluded segment</t>
  </si>
  <si>
    <t xml:space="preserve">State ERP</t>
  </si>
  <si>
    <t xml:space="preserve">DQ: public sector</t>
  </si>
  <si>
    <t xml:space="preserve">Osprey Systems</t>
  </si>
  <si>
    <t xml:space="preserve">ospreysys.com</t>
  </si>
  <si>
    <t xml:space="preserve">1,900</t>
  </si>
  <si>
    <t xml:space="preserve">Defense software</t>
  </si>
  <si>
    <t xml:space="preserve">Acquired by Talon Defense (Q1) — no independent buying authority</t>
  </si>
  <si>
    <t xml:space="preserve">Parent's stack (migration announced)</t>
  </si>
  <si>
    <t xml:space="preserve">DQ: absorbed — verify claim before any outreach</t>
  </si>
  <si>
    <t xml:space="preserve">Quill &amp; Co</t>
  </si>
  <si>
    <t xml:space="preserve">quillco.com</t>
  </si>
  <si>
    <t xml:space="preserve">78 (file: 780)</t>
  </si>
  <si>
    <t xml:space="preserve">Too-Small</t>
  </si>
  <si>
    <t xml:space="preserve">Stationery e-commerce</t>
  </si>
  <si>
    <t xml:space="preserve">File off by 10x — 78 actual employees</t>
  </si>
  <si>
    <t xml:space="preserve">Starter tools</t>
  </si>
  <si>
    <t xml:space="preserve">DQ: mis-sized record (file said 780)</t>
  </si>
  <si>
    <t xml:space="preserve">FICTIONAL DATA — generated by the production account-scorer skill against an invented account list to demonstrate output structure. No real companies, prospects, or customers appear.</t>
  </si>
  <si>
    <t xml:space="preserve">Triage summary</t>
  </si>
  <si>
    <t xml:space="preserve">All companies, people, customers, and figures on this workbook are FICTIONAL.</t>
  </si>
  <si>
    <t xml:space="preserve">Keep (Good Fit)</t>
  </si>
  <si>
    <t xml:space="preserve">Qualify (Borderline)</t>
  </si>
  <si>
    <t xml:space="preserve">Remove (Non-Fit)</t>
  </si>
  <si>
    <t xml:space="preserve">Total accounts</t>
  </si>
  <si>
    <t xml:space="preserve">Data flags surfaced</t>
  </si>
  <si>
    <t xml:space="preserve">Scoring Notes</t>
  </si>
  <si>
    <t xml:space="preserve">Scoring principle</t>
  </si>
  <si>
    <t xml:space="preserve">Company/product fit, win strength, and secondary-product fit are separate lenses. None drags down another.</t>
  </si>
  <si>
    <t xml:space="preserve">Fit</t>
  </si>
  <si>
    <t xml:space="preserve">Band + industry + lookalike profile. Good Fit = strong won-customer lookalike and a workable segment.</t>
  </si>
  <si>
    <t xml:space="preserve">Win strength</t>
  </si>
  <si>
    <t xml:space="preserve">Triggers + displaceable stack + visible pain/intent + access. Heat never overrides fit.</t>
  </si>
  <si>
    <t xml:space="preserve">Secondary product</t>
  </si>
  <si>
    <t xml:space="preserve">Verify unless the eligible sub-population and pay complexity are confirmed. Never promised from global numbers.</t>
  </si>
  <si>
    <t xml:space="preserve">Caveat</t>
  </si>
  <si>
    <t xml:space="preserve">Every account was live-researched before grading; the uploaded file's figures were treated as hints. Corrections surfaced in the Data flag column.</t>
  </si>
  <si>
    <t xml:space="preserve">Ignored</t>
  </si>
  <si>
    <t xml:space="preserve">All CRM / intent-vendor score fields. By design.</t>
  </si>
  <si>
    <t xml:space="preserve">Data</t>
  </si>
  <si>
    <t xml:space="preserve">FICTIONAL EXAMPLE - all companies, people, customers, and figures invented. Generated by the production skill to demonstrate output structure.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</si>
</sst>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65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9"/>
      <color rgb="FF808080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D9D9D9"/>
      </patternFill>
    </fill>
    <fill>
      <patternFill patternType="solid">
        <fgColor rgb="FFFFEB9C"/>
        <bgColor rgb="FFFFFFCC"/>
      </patternFill>
    </fill>
    <fill>
      <patternFill patternType="solid">
        <fgColor rgb="FFFFC7CE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65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20"/>
    <col collapsed="false" customWidth="true" hidden="false" outlineLevel="0" max="3" min="3" style="1" width="17"/>
    <col collapsed="false" customWidth="true" hidden="false" outlineLevel="0" max="4" min="4" style="1" width="15"/>
    <col collapsed="false" customWidth="true" hidden="false" outlineLevel="0" max="5" min="5" style="1" width="26"/>
    <col collapsed="false" customWidth="true" hidden="false" outlineLevel="0" max="6" min="6" style="1" width="12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38"/>
    <col collapsed="false" customWidth="true" hidden="false" outlineLevel="0" max="10" min="10" style="1" width="24"/>
    <col collapsed="false" customWidth="true" hidden="false" outlineLevel="0" max="11" min="11" style="1" width="30"/>
    <col collapsed="false" customWidth="true" hidden="false" outlineLevel="0" max="12" min="12" style="1" width="28"/>
    <col collapsed="false" customWidth="true" hidden="false" outlineLevel="0" max="13" min="13" style="1" width="26"/>
    <col collapsed="false" customWidth="true" hidden="false" outlineLevel="0" max="14" min="14" style="1" width="20"/>
    <col collapsed="false" customWidth="true" hidden="false" outlineLevel="0" max="15" min="15" style="1" width="44"/>
    <col collapsed="false" customWidth="true" hidden="false" outlineLevel="0" max="16" min="16" style="1" width="26"/>
  </cols>
  <sheetData>
    <row r="1" customFormat="false" ht="23.2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23.25" hidden="false" customHeight="true" outlineLevel="0" collapsed="false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 t="s">
        <v>21</v>
      </c>
      <c r="G2" s="3" t="s">
        <v>22</v>
      </c>
      <c r="H2" s="4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29</v>
      </c>
      <c r="O2" s="3"/>
      <c r="P2" s="3"/>
    </row>
    <row r="3" customFormat="false" ht="23.25" hidden="false" customHeight="true" outlineLevel="0" collapsed="false">
      <c r="A3" s="3" t="s">
        <v>30</v>
      </c>
      <c r="B3" s="3" t="s">
        <v>31</v>
      </c>
      <c r="C3" s="3" t="s">
        <v>32</v>
      </c>
      <c r="D3" s="3" t="s">
        <v>19</v>
      </c>
      <c r="E3" s="3" t="s">
        <v>33</v>
      </c>
      <c r="F3" s="4" t="s">
        <v>21</v>
      </c>
      <c r="G3" s="3" t="s">
        <v>22</v>
      </c>
      <c r="H3" s="4" t="s">
        <v>23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/>
      <c r="P3" s="3"/>
    </row>
    <row r="4" customFormat="false" ht="23.25" hidden="false" customHeight="true" outlineLevel="0" collapsed="false">
      <c r="A4" s="3" t="s">
        <v>40</v>
      </c>
      <c r="B4" s="3" t="s">
        <v>41</v>
      </c>
      <c r="C4" s="3" t="s">
        <v>42</v>
      </c>
      <c r="D4" s="3" t="s">
        <v>19</v>
      </c>
      <c r="E4" s="3" t="s">
        <v>43</v>
      </c>
      <c r="F4" s="4" t="s">
        <v>21</v>
      </c>
      <c r="G4" s="3" t="s">
        <v>44</v>
      </c>
      <c r="H4" s="4" t="s">
        <v>23</v>
      </c>
      <c r="I4" s="3" t="s">
        <v>45</v>
      </c>
      <c r="J4" s="3" t="s">
        <v>46</v>
      </c>
      <c r="K4" s="3" t="s">
        <v>47</v>
      </c>
      <c r="L4" s="3" t="s">
        <v>48</v>
      </c>
      <c r="M4" s="3" t="s">
        <v>49</v>
      </c>
      <c r="N4" s="3" t="s">
        <v>50</v>
      </c>
      <c r="O4" s="3"/>
      <c r="P4" s="3"/>
    </row>
    <row r="5" customFormat="false" ht="23.25" hidden="false" customHeight="true" outlineLevel="0" collapsed="false">
      <c r="A5" s="3" t="s">
        <v>51</v>
      </c>
      <c r="B5" s="3" t="s">
        <v>52</v>
      </c>
      <c r="C5" s="3" t="s">
        <v>53</v>
      </c>
      <c r="D5" s="3" t="s">
        <v>19</v>
      </c>
      <c r="E5" s="3" t="s">
        <v>54</v>
      </c>
      <c r="F5" s="4" t="s">
        <v>21</v>
      </c>
      <c r="G5" s="3" t="s">
        <v>44</v>
      </c>
      <c r="H5" s="4" t="s">
        <v>23</v>
      </c>
      <c r="I5" s="3" t="s">
        <v>55</v>
      </c>
      <c r="J5" s="3" t="s">
        <v>56</v>
      </c>
      <c r="K5" s="3" t="s">
        <v>57</v>
      </c>
      <c r="L5" s="3" t="s">
        <v>58</v>
      </c>
      <c r="M5" s="3" t="s">
        <v>28</v>
      </c>
      <c r="N5" s="3" t="s">
        <v>59</v>
      </c>
      <c r="O5" s="3"/>
      <c r="P5" s="3" t="s">
        <v>60</v>
      </c>
    </row>
    <row r="6" customFormat="false" ht="34.5" hidden="false" customHeight="true" outlineLevel="0" collapsed="false">
      <c r="A6" s="3" t="s">
        <v>61</v>
      </c>
      <c r="B6" s="3" t="s">
        <v>62</v>
      </c>
      <c r="C6" s="3" t="s">
        <v>63</v>
      </c>
      <c r="D6" s="3" t="s">
        <v>64</v>
      </c>
      <c r="E6" s="3" t="s">
        <v>65</v>
      </c>
      <c r="F6" s="5" t="s">
        <v>66</v>
      </c>
      <c r="G6" s="3" t="s">
        <v>44</v>
      </c>
      <c r="H6" s="5" t="s">
        <v>67</v>
      </c>
      <c r="I6" s="3" t="s">
        <v>68</v>
      </c>
      <c r="J6" s="3" t="s">
        <v>69</v>
      </c>
      <c r="K6" s="3" t="s">
        <v>70</v>
      </c>
      <c r="L6" s="3" t="s">
        <v>71</v>
      </c>
      <c r="M6" s="3" t="s">
        <v>72</v>
      </c>
      <c r="N6" s="3" t="s">
        <v>73</v>
      </c>
      <c r="O6" s="3" t="s">
        <v>74</v>
      </c>
      <c r="P6" s="3"/>
    </row>
    <row r="7" customFormat="false" ht="34.5" hidden="false" customHeight="true" outlineLevel="0" collapsed="false">
      <c r="A7" s="3" t="s">
        <v>75</v>
      </c>
      <c r="B7" s="3" t="s">
        <v>76</v>
      </c>
      <c r="C7" s="3" t="s">
        <v>77</v>
      </c>
      <c r="D7" s="3" t="s">
        <v>78</v>
      </c>
      <c r="E7" s="3" t="s">
        <v>79</v>
      </c>
      <c r="F7" s="5" t="s">
        <v>66</v>
      </c>
      <c r="G7" s="3" t="s">
        <v>80</v>
      </c>
      <c r="H7" s="5" t="s">
        <v>67</v>
      </c>
      <c r="I7" s="3" t="s">
        <v>81</v>
      </c>
      <c r="J7" s="3" t="s">
        <v>82</v>
      </c>
      <c r="K7" s="3" t="s">
        <v>83</v>
      </c>
      <c r="L7" s="3" t="s">
        <v>84</v>
      </c>
      <c r="M7" s="3" t="s">
        <v>72</v>
      </c>
      <c r="N7" s="3" t="s">
        <v>73</v>
      </c>
      <c r="O7" s="3" t="s">
        <v>85</v>
      </c>
      <c r="P7" s="3"/>
    </row>
    <row r="8" customFormat="false" ht="34.5" hidden="false" customHeight="true" outlineLevel="0" collapsed="false">
      <c r="A8" s="3" t="s">
        <v>86</v>
      </c>
      <c r="B8" s="3" t="s">
        <v>87</v>
      </c>
      <c r="C8" s="3" t="s">
        <v>88</v>
      </c>
      <c r="D8" s="3" t="s">
        <v>19</v>
      </c>
      <c r="E8" s="3" t="s">
        <v>89</v>
      </c>
      <c r="F8" s="5" t="s">
        <v>66</v>
      </c>
      <c r="G8" s="3" t="s">
        <v>80</v>
      </c>
      <c r="H8" s="5" t="s">
        <v>67</v>
      </c>
      <c r="I8" s="3" t="s">
        <v>90</v>
      </c>
      <c r="J8" s="3" t="s">
        <v>69</v>
      </c>
      <c r="K8" s="3" t="s">
        <v>91</v>
      </c>
      <c r="L8" s="3" t="s">
        <v>92</v>
      </c>
      <c r="M8" s="3" t="s">
        <v>72</v>
      </c>
      <c r="N8" s="3" t="s">
        <v>73</v>
      </c>
      <c r="O8" s="3" t="s">
        <v>93</v>
      </c>
      <c r="P8" s="3"/>
    </row>
    <row r="9" customFormat="false" ht="23.25" hidden="false" customHeight="true" outlineLevel="0" collapsed="false">
      <c r="A9" s="3" t="s">
        <v>94</v>
      </c>
      <c r="B9" s="3" t="s">
        <v>95</v>
      </c>
      <c r="C9" s="3" t="s">
        <v>96</v>
      </c>
      <c r="D9" s="3" t="s">
        <v>97</v>
      </c>
      <c r="E9" s="3" t="s">
        <v>98</v>
      </c>
      <c r="F9" s="5" t="s">
        <v>66</v>
      </c>
      <c r="G9" s="3" t="s">
        <v>44</v>
      </c>
      <c r="H9" s="5" t="s">
        <v>67</v>
      </c>
      <c r="I9" s="3" t="s">
        <v>99</v>
      </c>
      <c r="J9" s="3" t="s">
        <v>100</v>
      </c>
      <c r="K9" s="3" t="s">
        <v>101</v>
      </c>
      <c r="L9" s="3" t="s">
        <v>102</v>
      </c>
      <c r="M9" s="3" t="s">
        <v>103</v>
      </c>
      <c r="N9" s="3" t="s">
        <v>104</v>
      </c>
      <c r="O9" s="3" t="s">
        <v>105</v>
      </c>
      <c r="P9" s="3"/>
    </row>
    <row r="10" customFormat="false" ht="23.25" hidden="false" customHeight="true" outlineLevel="0" collapsed="false">
      <c r="A10" s="3" t="s">
        <v>106</v>
      </c>
      <c r="B10" s="3" t="s">
        <v>107</v>
      </c>
      <c r="C10" s="3" t="s">
        <v>108</v>
      </c>
      <c r="D10" s="3" t="s">
        <v>64</v>
      </c>
      <c r="E10" s="3" t="s">
        <v>109</v>
      </c>
      <c r="F10" s="6" t="s">
        <v>110</v>
      </c>
      <c r="G10" s="3" t="s">
        <v>111</v>
      </c>
      <c r="H10" s="6" t="s">
        <v>112</v>
      </c>
      <c r="I10" s="3" t="s">
        <v>113</v>
      </c>
      <c r="J10" s="3" t="s">
        <v>114</v>
      </c>
      <c r="K10" s="3" t="s">
        <v>115</v>
      </c>
      <c r="L10" s="3" t="s">
        <v>84</v>
      </c>
      <c r="M10" s="3" t="s">
        <v>115</v>
      </c>
      <c r="N10" s="3" t="s">
        <v>73</v>
      </c>
      <c r="O10" s="3"/>
      <c r="P10" s="3" t="s">
        <v>116</v>
      </c>
    </row>
    <row r="11" customFormat="false" ht="15" hidden="false" customHeight="true" outlineLevel="0" collapsed="false">
      <c r="A11" s="3" t="s">
        <v>117</v>
      </c>
      <c r="B11" s="3" t="s">
        <v>118</v>
      </c>
      <c r="C11" s="3" t="s">
        <v>119</v>
      </c>
      <c r="D11" s="3" t="s">
        <v>120</v>
      </c>
      <c r="E11" s="3" t="s">
        <v>121</v>
      </c>
      <c r="F11" s="6" t="s">
        <v>110</v>
      </c>
      <c r="G11" s="3" t="s">
        <v>111</v>
      </c>
      <c r="H11" s="6" t="s">
        <v>112</v>
      </c>
      <c r="I11" s="3" t="s">
        <v>122</v>
      </c>
      <c r="J11" s="3" t="s">
        <v>123</v>
      </c>
      <c r="K11" s="3" t="s">
        <v>115</v>
      </c>
      <c r="L11" s="3" t="s">
        <v>84</v>
      </c>
      <c r="M11" s="3" t="s">
        <v>115</v>
      </c>
      <c r="N11" s="3" t="s">
        <v>73</v>
      </c>
      <c r="O11" s="3"/>
      <c r="P11" s="3" t="s">
        <v>124</v>
      </c>
    </row>
    <row r="12" customFormat="false" ht="23.25" hidden="false" customHeight="true" outlineLevel="0" collapsed="false">
      <c r="A12" s="3" t="s">
        <v>125</v>
      </c>
      <c r="B12" s="3" t="s">
        <v>126</v>
      </c>
      <c r="C12" s="3" t="s">
        <v>127</v>
      </c>
      <c r="D12" s="3" t="s">
        <v>19</v>
      </c>
      <c r="E12" s="3" t="s">
        <v>128</v>
      </c>
      <c r="F12" s="6" t="s">
        <v>110</v>
      </c>
      <c r="G12" s="3" t="s">
        <v>111</v>
      </c>
      <c r="H12" s="6" t="s">
        <v>112</v>
      </c>
      <c r="I12" s="3" t="s">
        <v>129</v>
      </c>
      <c r="J12" s="3" t="s">
        <v>130</v>
      </c>
      <c r="K12" s="3" t="s">
        <v>115</v>
      </c>
      <c r="L12" s="3" t="s">
        <v>84</v>
      </c>
      <c r="M12" s="3" t="s">
        <v>115</v>
      </c>
      <c r="N12" s="3" t="s">
        <v>73</v>
      </c>
      <c r="O12" s="3"/>
      <c r="P12" s="3" t="s">
        <v>131</v>
      </c>
    </row>
    <row r="13" customFormat="false" ht="23.25" hidden="false" customHeight="true" outlineLevel="0" collapsed="false">
      <c r="A13" s="3" t="s">
        <v>132</v>
      </c>
      <c r="B13" s="3" t="s">
        <v>133</v>
      </c>
      <c r="C13" s="3" t="s">
        <v>134</v>
      </c>
      <c r="D13" s="3" t="s">
        <v>135</v>
      </c>
      <c r="E13" s="3" t="s">
        <v>136</v>
      </c>
      <c r="F13" s="6" t="s">
        <v>110</v>
      </c>
      <c r="G13" s="3" t="s">
        <v>111</v>
      </c>
      <c r="H13" s="6" t="s">
        <v>112</v>
      </c>
      <c r="I13" s="3" t="s">
        <v>137</v>
      </c>
      <c r="J13" s="3" t="s">
        <v>138</v>
      </c>
      <c r="K13" s="3" t="s">
        <v>115</v>
      </c>
      <c r="L13" s="3" t="s">
        <v>84</v>
      </c>
      <c r="M13" s="3" t="s">
        <v>115</v>
      </c>
      <c r="N13" s="3" t="s">
        <v>73</v>
      </c>
      <c r="O13" s="3"/>
      <c r="P13" s="3" t="s">
        <v>139</v>
      </c>
    </row>
    <row r="15" customFormat="false" ht="15" hidden="false" customHeight="true" outlineLevel="0" collapsed="false">
      <c r="A15" s="7" t="s">
        <v>140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0"/>
  </cols>
  <sheetData>
    <row r="1" customFormat="false" ht="15" hidden="false" customHeight="true" outlineLevel="0" collapsed="false">
      <c r="A1" s="8" t="s">
        <v>141</v>
      </c>
    </row>
    <row r="2" customFormat="false" ht="15" hidden="false" customHeight="true" outlineLevel="0" collapsed="false">
      <c r="A2" s="7" t="s">
        <v>142</v>
      </c>
    </row>
    <row r="4" customFormat="false" ht="15" hidden="false" customHeight="true" outlineLevel="0" collapsed="false">
      <c r="A4" s="9" t="s">
        <v>143</v>
      </c>
      <c r="B4" s="10" t="n">
        <f aca="false">COUNTIF(Triage!F2:F13,"Good Fit")</f>
        <v>4</v>
      </c>
    </row>
    <row r="5" customFormat="false" ht="15" hidden="false" customHeight="true" outlineLevel="0" collapsed="false">
      <c r="A5" s="9" t="s">
        <v>144</v>
      </c>
      <c r="B5" s="11" t="n">
        <f aca="false">COUNTIF(Triage!F2:F13,"Borderline")</f>
        <v>4</v>
      </c>
    </row>
    <row r="6" customFormat="false" ht="15" hidden="false" customHeight="true" outlineLevel="0" collapsed="false">
      <c r="A6" s="9" t="s">
        <v>145</v>
      </c>
      <c r="B6" s="12" t="n">
        <f aca="false">COUNTIF(Triage!F2:F13,"Non-Fit")</f>
        <v>4</v>
      </c>
    </row>
    <row r="8" customFormat="false" ht="15" hidden="false" customHeight="true" outlineLevel="0" collapsed="false">
      <c r="A8" s="9" t="s">
        <v>146</v>
      </c>
      <c r="B8" s="13" t="n">
        <f aca="false">COUNTA(Triage!A2:A13)</f>
        <v>12</v>
      </c>
    </row>
    <row r="10" customFormat="false" ht="15" hidden="false" customHeight="true" outlineLevel="0" collapsed="false">
      <c r="A10" s="9" t="s">
        <v>147</v>
      </c>
      <c r="B10" s="13" t="n">
        <f aca="false">COUNTIF(Triage!P2:P13,"&lt;&gt;"&amp;"")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14" t="s">
        <v>148</v>
      </c>
    </row>
    <row r="3" customFormat="false" ht="15" hidden="false" customHeight="false" outlineLevel="0" collapsed="false">
      <c r="A3" s="15" t="s">
        <v>149</v>
      </c>
      <c r="B3" s="16" t="s">
        <v>150</v>
      </c>
    </row>
    <row r="4" customFormat="false" ht="15" hidden="false" customHeight="false" outlineLevel="0" collapsed="false">
      <c r="A4" s="15" t="s">
        <v>151</v>
      </c>
      <c r="B4" s="16" t="s">
        <v>152</v>
      </c>
    </row>
    <row r="5" customFormat="false" ht="15" hidden="false" customHeight="false" outlineLevel="0" collapsed="false">
      <c r="A5" s="15" t="s">
        <v>153</v>
      </c>
      <c r="B5" s="16" t="s">
        <v>154</v>
      </c>
    </row>
    <row r="6" customFormat="false" ht="15" hidden="false" customHeight="false" outlineLevel="0" collapsed="false">
      <c r="A6" s="15" t="s">
        <v>155</v>
      </c>
      <c r="B6" s="16" t="s">
        <v>156</v>
      </c>
    </row>
    <row r="7" customFormat="false" ht="15" hidden="false" customHeight="false" outlineLevel="0" collapsed="false">
      <c r="A7" s="15" t="s">
        <v>157</v>
      </c>
      <c r="B7" s="16" t="s">
        <v>158</v>
      </c>
    </row>
    <row r="8" customFormat="false" ht="15" hidden="false" customHeight="false" outlineLevel="0" collapsed="false">
      <c r="A8" s="15" t="s">
        <v>159</v>
      </c>
      <c r="B8" s="16" t="s">
        <v>160</v>
      </c>
    </row>
    <row r="9" customFormat="false" ht="15" hidden="false" customHeight="false" outlineLevel="0" collapsed="false">
      <c r="A9" s="15" t="s">
        <v>161</v>
      </c>
      <c r="B9" s="16" t="s">
        <v>162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2026-07-21T19:39:58Z</dcterms:created>
  <dc:creator>openpyxl</dc:creator>
  <dc:description/>
  <dc:language>en-US</dc:language>
  <cp:lastModifiedBy/>
  <dcterms:modified xsi:type="dcterms:W3CDTF">2026-07-21T19:47:27Z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